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Proyecto" sheetId="1" r:id="rId4"/>
  </sheets>
  <definedNames/>
  <calcPr/>
  <extLst>
    <ext uri="GoogleSheetsCustomDataVersion2">
      <go:sheetsCustomData xmlns:go="http://customooxmlschemas.google.com/" r:id="rId5" roundtripDataChecksum="uyQj40yVBRLX43KZfYapx76cApBD8cK7tGhDnRAVsQQ="/>
    </ext>
  </extLst>
</workbook>
</file>

<file path=xl/sharedStrings.xml><?xml version="1.0" encoding="utf-8"?>
<sst xmlns="http://schemas.openxmlformats.org/spreadsheetml/2006/main" count="60" uniqueCount="58">
  <si>
    <t>c v</t>
  </si>
  <si>
    <t>Concepto</t>
  </si>
  <si>
    <t>Monto (CLP)</t>
  </si>
  <si>
    <t>Periodo 0</t>
  </si>
  <si>
    <t>Mes 1 al Mes 6</t>
  </si>
  <si>
    <t>Mes 7 al Mes 12</t>
  </si>
  <si>
    <t>Rol</t>
  </si>
  <si>
    <t>Cantidad</t>
  </si>
  <si>
    <t>Sueldo mensual</t>
  </si>
  <si>
    <t>Costo mensual</t>
  </si>
  <si>
    <t>Costo RRHH Total</t>
  </si>
  <si>
    <t>Beneficio (Ahorro)</t>
  </si>
  <si>
    <t>Jefatura de Proyecto</t>
  </si>
  <si>
    <t>Costo Licencias Anual</t>
  </si>
  <si>
    <t>Costo (Operación)</t>
  </si>
  <si>
    <t>Desarrolladores Frontend (Interfaces)</t>
  </si>
  <si>
    <t>Costo Total Proyecto (3 años)</t>
  </si>
  <si>
    <t>Inversión (RRHH)</t>
  </si>
  <si>
    <t>Desarrolladores Backend (Lógica)</t>
  </si>
  <si>
    <t>Beneficio Mensual</t>
  </si>
  <si>
    <t>Flujo Neto</t>
  </si>
  <si>
    <t>Arquitecto de Base de Datos y Cloud</t>
  </si>
  <si>
    <t>Beneficio Anual</t>
  </si>
  <si>
    <t>Flujo Acumulado</t>
  </si>
  <si>
    <t>Se reduce la deuda</t>
  </si>
  <si>
    <t>Ingeniero de QA y Pruebas (Testing)</t>
  </si>
  <si>
    <t>Ganancia (Neto 3 años)</t>
  </si>
  <si>
    <t>Total Egresos Mensuales RRHH</t>
  </si>
  <si>
    <t>Rendimiento</t>
  </si>
  <si>
    <t>Tasa descuento mensual (i):</t>
  </si>
  <si>
    <t>ajustar (1% ≈ 12.68% anual)</t>
  </si>
  <si>
    <t>Costo total basado en 6 meses</t>
  </si>
  <si>
    <t>VAN (A 36 meses)</t>
  </si>
  <si>
    <t>TIR (mensual)</t>
  </si>
  <si>
    <t>TIR (mensual equiv.)</t>
  </si>
  <si>
    <t>Costo Anual</t>
  </si>
  <si>
    <t>Cloud (AWS) y Base de Datos (PostgreSQL)</t>
  </si>
  <si>
    <t>Licencias Microsoft 365 (SharePoint)</t>
  </si>
  <si>
    <t>Soporte y Mantenimiento Técnico</t>
  </si>
  <si>
    <t>DevOps y Control de Versiones</t>
  </si>
  <si>
    <t>API Geolocalización (Google Maps)</t>
  </si>
  <si>
    <t>Dominio (.cl) y Certificado SSL</t>
  </si>
  <si>
    <t>IDEs Desarrollo y Testing</t>
  </si>
  <si>
    <t>TOTAL LICENCIAS</t>
  </si>
  <si>
    <t>3 años</t>
  </si>
  <si>
    <t>Ítem de Beneficio (Ahorro)</t>
  </si>
  <si>
    <t>Justificación y Método de Cálculo</t>
  </si>
  <si>
    <t>Monto Mensual (CLP)</t>
  </si>
  <si>
    <t>Ahorro HH Administrativas</t>
  </si>
  <si>
    <t>Recuperación de 40 horas/mes en gestión manual de EPP y certificados F30 (Valor HH prom. $10.000)</t>
  </si>
  <si>
    <t>Reducción Pérdida Materiales</t>
  </si>
  <si>
    <t>Prevención de compras duplicadas y mermas mediante control de bodega por SKU</t>
  </si>
  <si>
    <t>Eficiencia Flujo Logístico</t>
  </si>
  <si>
    <t>Disminución de tiempos muertos en obra gracias a la automatización de Órdenes de Compra</t>
  </si>
  <si>
    <t>Mitigación de Riesgos (SSO)</t>
  </si>
  <si>
    <t>Provisión mensual (intangible) por prevención de multas ante la Inspección del Trabajo</t>
  </si>
  <si>
    <t>TOTAL BENEFICIO MENSUAL</t>
  </si>
  <si>
    <t>Ahorro operativo proyectado a favor de Ati termic SpA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</si>
</sst>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;&quot;($&quot;#,##0\);\-"/>
  </numFmts>
  <fonts count="11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rgb="FF0000FF"/>
      <name val="Arial"/>
    </font>
    <font>
      <sz val="9.0"/>
      <color rgb="FFFF0000"/>
      <name val="Arial"/>
    </font>
    <font>
      <b/>
      <sz val="9.0"/>
      <color rgb="FFFF0000"/>
      <name val="Arial"/>
    </font>
    <font>
      <i/>
      <sz val="9.0"/>
      <color rgb="FF000000"/>
      <name val="Arial"/>
    </font>
    <font>
      <b/>
      <sz val="9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700"/>
        <bgColor rgb="FFFFD7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righ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right" shrinkToFit="0" vertical="center" wrapText="1"/>
    </xf>
    <xf borderId="4" fillId="0" fontId="7" numFmtId="164" xfId="0" applyAlignment="1" applyBorder="1" applyFont="1" applyNumberFormat="1">
      <alignment horizontal="right" shrinkToFit="0" vertical="center" wrapText="1"/>
    </xf>
    <xf borderId="4" fillId="3" fontId="6" numFmtId="164" xfId="0" applyAlignment="1" applyBorder="1" applyFill="1" applyFont="1" applyNumberFormat="1">
      <alignment horizontal="righ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8" numFmtId="164" xfId="0" applyAlignment="1" applyBorder="1" applyFont="1" applyNumberFormat="1">
      <alignment horizontal="right" shrinkToFit="0" vertical="center" wrapText="1"/>
    </xf>
    <xf borderId="4" fillId="4" fontId="4" numFmtId="164" xfId="0" applyAlignment="1" applyBorder="1" applyFont="1" applyNumberFormat="1">
      <alignment horizontal="right" shrinkToFit="0" vertical="center" wrapText="1"/>
    </xf>
    <xf borderId="4" fillId="0" fontId="8" numFmtId="164" xfId="0" applyAlignment="1" applyBorder="1" applyFont="1" applyNumberFormat="1">
      <alignment horizontal="right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3" fontId="5" numFmtId="164" xfId="0" applyAlignment="1" applyBorder="1" applyFont="1" applyNumberFormat="1">
      <alignment horizontal="right" shrinkToFit="0" vertical="center" wrapText="1"/>
    </xf>
    <xf borderId="4" fillId="4" fontId="4" numFmtId="1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3" fontId="5" numFmtId="2" xfId="0" applyAlignment="1" applyBorder="1" applyFont="1" applyNumberFormat="1">
      <alignment horizontal="right" shrinkToFit="0" vertical="center" wrapText="1"/>
    </xf>
    <xf borderId="4" fillId="5" fontId="6" numFmtId="10" xfId="0" applyAlignment="1" applyBorder="1" applyFill="1" applyFont="1" applyNumberFormat="1">
      <alignment horizontal="left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3" fontId="10" numFmtId="164" xfId="0" applyAlignment="1" applyBorder="1" applyFont="1" applyNumberFormat="1">
      <alignment horizontal="right" shrinkToFit="0" vertical="center" wrapText="1"/>
    </xf>
    <xf borderId="4" fillId="6" fontId="4" numFmtId="0" xfId="0" applyAlignment="1" applyBorder="1" applyFill="1" applyFont="1">
      <alignment horizontal="left" shrinkToFit="0" vertical="center" wrapText="1"/>
    </xf>
    <xf borderId="4" fillId="6" fontId="4" numFmtId="164" xfId="0" applyAlignment="1" applyBorder="1" applyFont="1" applyNumberFormat="1">
      <alignment horizontal="right" shrinkToFit="0" vertical="center" wrapText="1"/>
    </xf>
    <xf borderId="4" fillId="6" fontId="10" numFmtId="10" xfId="0" applyAlignment="1" applyBorder="1" applyFont="1" applyNumberFormat="1">
      <alignment horizontal="righ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4" fillId="6" fontId="4" numFmtId="10" xfId="0" applyAlignment="1" applyBorder="1" applyFont="1" applyNumberFormat="1">
      <alignment horizontal="right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3" fontId="4" numFmtId="16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14"/>
    <col customWidth="1" min="3" max="4" width="14.0"/>
    <col customWidth="1" min="5" max="5" width="3.0"/>
    <col customWidth="1" min="6" max="6" width="28.0"/>
    <col customWidth="1" min="7" max="7" width="16.0"/>
    <col customWidth="1" min="8" max="8" width="3.0"/>
    <col customWidth="1" min="9" max="9" width="22.0"/>
    <col customWidth="1" min="10" max="12" width="16.0"/>
    <col customWidth="1" min="13" max="26" width="8.57"/>
  </cols>
  <sheetData>
    <row r="1" ht="19.5" customHeight="1">
      <c r="A1" s="1" t="s">
        <v>0</v>
      </c>
      <c r="B1" s="2"/>
      <c r="C1" s="2"/>
      <c r="D1" s="3"/>
      <c r="F1" s="4" t="s">
        <v>1</v>
      </c>
      <c r="G1" s="4" t="s">
        <v>2</v>
      </c>
      <c r="I1" s="4" t="s">
        <v>1</v>
      </c>
      <c r="J1" s="4" t="s">
        <v>3</v>
      </c>
      <c r="K1" s="4" t="s">
        <v>4</v>
      </c>
      <c r="L1" s="4" t="s">
        <v>5</v>
      </c>
    </row>
    <row r="2" ht="27.75" customHeight="1">
      <c r="A2" s="4" t="s">
        <v>6</v>
      </c>
      <c r="B2" s="4" t="s">
        <v>7</v>
      </c>
      <c r="C2" s="4" t="s">
        <v>8</v>
      </c>
      <c r="D2" s="4" t="s">
        <v>9</v>
      </c>
      <c r="F2" s="5" t="s">
        <v>10</v>
      </c>
      <c r="G2" s="6">
        <f>D9</f>
        <v>25200000</v>
      </c>
      <c r="I2" s="7" t="s">
        <v>11</v>
      </c>
      <c r="J2" s="6">
        <v>0.0</v>
      </c>
      <c r="K2" s="6">
        <v>0.0</v>
      </c>
      <c r="L2" s="6">
        <f>G5</f>
        <v>1800000</v>
      </c>
    </row>
    <row r="3" ht="27.75" customHeight="1">
      <c r="A3" s="7" t="s">
        <v>12</v>
      </c>
      <c r="B3" s="8">
        <v>1.0</v>
      </c>
      <c r="C3" s="9">
        <v>600000.0</v>
      </c>
      <c r="D3" s="6">
        <f t="shared" ref="D3:D7" si="1">B3*C3</f>
        <v>600000</v>
      </c>
      <c r="F3" s="5" t="s">
        <v>13</v>
      </c>
      <c r="G3" s="6">
        <f>B20</f>
        <v>4440000</v>
      </c>
      <c r="I3" s="7" t="s">
        <v>14</v>
      </c>
      <c r="J3" s="6">
        <v>0.0</v>
      </c>
      <c r="K3" s="6">
        <v>0.0</v>
      </c>
      <c r="L3" s="6">
        <f>B20/12</f>
        <v>370000</v>
      </c>
    </row>
    <row r="4" ht="27.75" customHeight="1">
      <c r="A4" s="7" t="s">
        <v>15</v>
      </c>
      <c r="B4" s="8">
        <v>2.0</v>
      </c>
      <c r="C4" s="9">
        <v>500000.0</v>
      </c>
      <c r="D4" s="6">
        <f t="shared" si="1"/>
        <v>1000000</v>
      </c>
      <c r="F4" s="5" t="s">
        <v>16</v>
      </c>
      <c r="G4" s="6">
        <f>G2+B21</f>
        <v>38520000</v>
      </c>
      <c r="I4" s="7" t="s">
        <v>17</v>
      </c>
      <c r="J4" s="10">
        <f>-D9</f>
        <v>-25200000</v>
      </c>
      <c r="K4" s="6">
        <v>0.0</v>
      </c>
      <c r="L4" s="6">
        <v>0.0</v>
      </c>
    </row>
    <row r="5" ht="27.75" customHeight="1">
      <c r="A5" s="7" t="s">
        <v>18</v>
      </c>
      <c r="B5" s="8">
        <v>2.0</v>
      </c>
      <c r="C5" s="9">
        <v>500000.0</v>
      </c>
      <c r="D5" s="6">
        <f t="shared" si="1"/>
        <v>1000000</v>
      </c>
      <c r="F5" s="5" t="s">
        <v>19</v>
      </c>
      <c r="G5" s="11">
        <v>1800000.0</v>
      </c>
      <c r="I5" s="12" t="s">
        <v>20</v>
      </c>
      <c r="J5" s="13">
        <f>-D9</f>
        <v>-25200000</v>
      </c>
      <c r="K5" s="14">
        <v>0.0</v>
      </c>
      <c r="L5" s="14">
        <f>L2-L3</f>
        <v>1430000</v>
      </c>
    </row>
    <row r="6" ht="27.75" customHeight="1">
      <c r="A6" s="7" t="s">
        <v>21</v>
      </c>
      <c r="B6" s="8">
        <v>1.0</v>
      </c>
      <c r="C6" s="9">
        <v>550000.0</v>
      </c>
      <c r="D6" s="6">
        <f t="shared" si="1"/>
        <v>550000</v>
      </c>
      <c r="F6" s="5" t="s">
        <v>22</v>
      </c>
      <c r="G6" s="6">
        <f>G5*12</f>
        <v>21600000</v>
      </c>
      <c r="I6" s="5" t="s">
        <v>23</v>
      </c>
      <c r="J6" s="15">
        <f>J5</f>
        <v>-25200000</v>
      </c>
      <c r="K6" s="15">
        <f>J6+K5</f>
        <v>-25200000</v>
      </c>
      <c r="L6" s="16" t="s">
        <v>24</v>
      </c>
    </row>
    <row r="7" ht="27.75" customHeight="1">
      <c r="A7" s="7" t="s">
        <v>25</v>
      </c>
      <c r="B7" s="8">
        <v>1.0</v>
      </c>
      <c r="C7" s="9">
        <v>450000.0</v>
      </c>
      <c r="D7" s="6">
        <f t="shared" si="1"/>
        <v>450000</v>
      </c>
      <c r="F7" s="5" t="s">
        <v>26</v>
      </c>
      <c r="G7" s="17">
        <f>G6*3-G4</f>
        <v>26280000</v>
      </c>
    </row>
    <row r="8" ht="21.75" customHeight="1">
      <c r="A8" s="12" t="s">
        <v>27</v>
      </c>
      <c r="B8" s="18">
        <f>SUM(B3:B7)</f>
        <v>7</v>
      </c>
      <c r="C8" s="19"/>
      <c r="D8" s="14">
        <f>SUM(D3:D7)</f>
        <v>3600000</v>
      </c>
      <c r="F8" s="5" t="s">
        <v>28</v>
      </c>
      <c r="G8" s="20">
        <f>G6*3/G4</f>
        <v>1.682242991</v>
      </c>
      <c r="I8" s="7" t="s">
        <v>29</v>
      </c>
      <c r="J8" s="21">
        <v>0.01</v>
      </c>
      <c r="K8" s="22" t="s">
        <v>30</v>
      </c>
    </row>
    <row r="9" ht="14.25" customHeight="1">
      <c r="A9" s="7"/>
      <c r="B9" s="7"/>
      <c r="C9" s="23" t="s">
        <v>31</v>
      </c>
      <c r="D9" s="24">
        <v>2.52E7</v>
      </c>
      <c r="I9" s="25" t="s">
        <v>32</v>
      </c>
      <c r="J9" s="26">
        <f>-D9+(G5-B20/12)*((1-(1+J8)^-30)/J8)*(1+J8)^(-6)</f>
        <v>9566200.845</v>
      </c>
    </row>
    <row r="10" ht="24.0" customHeight="1">
      <c r="I10" s="25" t="s">
        <v>33</v>
      </c>
      <c r="J10" s="27">
        <v>0.365</v>
      </c>
    </row>
    <row r="11" ht="24.0" customHeight="1">
      <c r="A11" s="28"/>
      <c r="B11" s="3"/>
      <c r="I11" s="25" t="s">
        <v>34</v>
      </c>
      <c r="J11" s="29">
        <f>(1+J10)^(1/12)-1</f>
        <v>0.02626863065</v>
      </c>
    </row>
    <row r="12" ht="25.5" customHeight="1">
      <c r="A12" s="4" t="s">
        <v>1</v>
      </c>
      <c r="B12" s="4" t="s">
        <v>35</v>
      </c>
    </row>
    <row r="13" ht="25.5" customHeight="1">
      <c r="A13" s="7" t="s">
        <v>36</v>
      </c>
      <c r="B13" s="9">
        <v>1200000.0</v>
      </c>
    </row>
    <row r="14" ht="25.5" customHeight="1">
      <c r="A14" s="7" t="s">
        <v>37</v>
      </c>
      <c r="B14" s="9">
        <v>1800000.0</v>
      </c>
    </row>
    <row r="15" ht="25.5" customHeight="1">
      <c r="A15" s="7" t="s">
        <v>38</v>
      </c>
      <c r="B15" s="9">
        <v>1200000.0</v>
      </c>
    </row>
    <row r="16" ht="25.5" customHeight="1">
      <c r="A16" s="7" t="s">
        <v>39</v>
      </c>
      <c r="B16" s="9">
        <v>100000.0</v>
      </c>
    </row>
    <row r="17" ht="25.5" customHeight="1">
      <c r="A17" s="7" t="s">
        <v>40</v>
      </c>
      <c r="B17" s="9">
        <v>100000.0</v>
      </c>
    </row>
    <row r="18" ht="25.5" customHeight="1">
      <c r="A18" s="7" t="s">
        <v>41</v>
      </c>
      <c r="B18" s="9">
        <v>40000.0</v>
      </c>
    </row>
    <row r="19" ht="25.5" customHeight="1">
      <c r="A19" s="7" t="s">
        <v>42</v>
      </c>
      <c r="B19" s="9">
        <v>0.0</v>
      </c>
    </row>
    <row r="20" ht="25.5" customHeight="1">
      <c r="A20" s="30" t="s">
        <v>43</v>
      </c>
      <c r="B20" s="31">
        <f>SUM(B13:B19)</f>
        <v>4440000</v>
      </c>
    </row>
    <row r="21" ht="25.5" customHeight="1">
      <c r="A21" s="5" t="s">
        <v>44</v>
      </c>
      <c r="B21" s="31">
        <f>B20*3</f>
        <v>13320000</v>
      </c>
    </row>
    <row r="22" ht="14.25" customHeight="1"/>
    <row r="23" ht="19.5" customHeight="1">
      <c r="A23" s="28"/>
      <c r="B23" s="2"/>
      <c r="C23" s="3"/>
    </row>
    <row r="24" ht="14.25" customHeight="1">
      <c r="A24" s="4" t="s">
        <v>45</v>
      </c>
      <c r="B24" s="4" t="s">
        <v>46</v>
      </c>
      <c r="C24" s="4" t="s">
        <v>47</v>
      </c>
    </row>
    <row r="25" ht="14.25" customHeight="1">
      <c r="A25" s="5" t="s">
        <v>48</v>
      </c>
      <c r="B25" s="23" t="s">
        <v>49</v>
      </c>
      <c r="C25" s="9">
        <v>400000.0</v>
      </c>
    </row>
    <row r="26" ht="14.25" customHeight="1">
      <c r="A26" s="5" t="s">
        <v>50</v>
      </c>
      <c r="B26" s="23" t="s">
        <v>51</v>
      </c>
      <c r="C26" s="9">
        <v>600000.0</v>
      </c>
    </row>
    <row r="27" ht="14.25" customHeight="1">
      <c r="A27" s="5" t="s">
        <v>52</v>
      </c>
      <c r="B27" s="23" t="s">
        <v>53</v>
      </c>
      <c r="C27" s="9">
        <v>250000.0</v>
      </c>
    </row>
    <row r="28" ht="14.25" customHeight="1">
      <c r="A28" s="5" t="s">
        <v>54</v>
      </c>
      <c r="B28" s="23" t="s">
        <v>55</v>
      </c>
      <c r="C28" s="9">
        <v>150000.0</v>
      </c>
    </row>
    <row r="29" ht="14.25" customHeight="1">
      <c r="A29" s="30" t="s">
        <v>56</v>
      </c>
      <c r="B29" s="30" t="s">
        <v>57</v>
      </c>
      <c r="C29" s="31">
        <f>SUM(C25:C28)</f>
        <v>1400000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A11:B11"/>
    <mergeCell ref="A23:C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2026-04-26T02:31:15Z</dcterms:created>
  <dc:creator>openpyxl</dc:creator>
</cp:coreProperties>
</file>